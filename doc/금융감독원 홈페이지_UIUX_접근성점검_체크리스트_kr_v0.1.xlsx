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1.Document\"/>
    </mc:Choice>
  </mc:AlternateContent>
  <xr:revisionPtr revIDLastSave="0" documentId="13_ncr:1_{24374B39-685C-4457-9ADB-0F69B70A43F4}" xr6:coauthVersionLast="47" xr6:coauthVersionMax="47" xr10:uidLastSave="{00000000-0000-0000-0000-000000000000}"/>
  <bookViews>
    <workbookView xWindow="38280" yWindow="-5100" windowWidth="29040" windowHeight="15720" tabRatio="499" xr2:uid="{BA3ED54C-CC85-4CD0-8ADB-46ECF631616A}"/>
  </bookViews>
  <sheets>
    <sheet name="체크리스트_목록" sheetId="1" r:id="rId1"/>
  </sheets>
  <definedNames>
    <definedName name="_xlnm._FilterDatabase" localSheetId="0" hidden="1">체크리스트_목록!$A$4:$E$159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4" i="1" l="1"/>
  <c r="G161" i="1"/>
  <c r="G162" i="1"/>
  <c r="G160" i="1"/>
  <c r="E2" i="1"/>
  <c r="G163" i="1" l="1"/>
</calcChain>
</file>

<file path=xl/sharedStrings.xml><?xml version="1.0" encoding="utf-8"?>
<sst xmlns="http://schemas.openxmlformats.org/spreadsheetml/2006/main" count="367" uniqueCount="213">
  <si>
    <t>대분류</t>
    <phoneticPr fontId="1" type="noConversion"/>
  </si>
  <si>
    <t>상세</t>
    <phoneticPr fontId="1" type="noConversion"/>
  </si>
  <si>
    <t>결과</t>
    <phoneticPr fontId="1" type="noConversion"/>
  </si>
  <si>
    <t>요소</t>
    <phoneticPr fontId="1" type="noConversion"/>
  </si>
  <si>
    <t>진단 항목</t>
    <phoneticPr fontId="1" type="noConversion"/>
  </si>
  <si>
    <t>준수</t>
    <phoneticPr fontId="1" type="noConversion"/>
  </si>
  <si>
    <t>미준수</t>
    <phoneticPr fontId="1" type="noConversion"/>
  </si>
  <si>
    <t>해당없음</t>
    <phoneticPr fontId="1" type="noConversion"/>
  </si>
  <si>
    <t>준수</t>
  </si>
  <si>
    <t>미준수</t>
    <phoneticPr fontId="1" type="noConversion"/>
  </si>
  <si>
    <t>준수</t>
    <phoneticPr fontId="1" type="noConversion"/>
  </si>
  <si>
    <t>해당없음</t>
    <phoneticPr fontId="1" type="noConversion"/>
  </si>
  <si>
    <t>전체 준수율</t>
    <phoneticPr fontId="1" type="noConversion"/>
  </si>
  <si>
    <t>1. 컴포넌트</t>
    <phoneticPr fontId="1" type="noConversion"/>
  </si>
  <si>
    <t>1-1. 아이덴티티</t>
    <phoneticPr fontId="1" type="noConversion"/>
  </si>
  <si>
    <t>1-2. 탐색</t>
    <phoneticPr fontId="1" type="noConversion"/>
  </si>
  <si>
    <t>건너뛰기 링크는 공식 배너 이전에 제공해야 함</t>
    <phoneticPr fontId="1" type="noConversion"/>
  </si>
  <si>
    <t>1-1-1. 공식 배너</t>
    <phoneticPr fontId="1" type="noConversion"/>
  </si>
  <si>
    <t>1-1-2. 운영기관 식별자</t>
    <phoneticPr fontId="1" type="noConversion"/>
  </si>
  <si>
    <t>1-1-3. 푸터</t>
    <phoneticPr fontId="1" type="noConversion"/>
  </si>
  <si>
    <t>1-1-4. 헤더</t>
    <phoneticPr fontId="1" type="noConversion"/>
  </si>
  <si>
    <t>로고 이미지에 대체 텍스트를 제공함</t>
    <phoneticPr fontId="1" type="noConversion"/>
  </si>
  <si>
    <t>1-2-1. 건너뛰기 링크</t>
    <phoneticPr fontId="1" type="noConversion"/>
  </si>
  <si>
    <t>1-2-2. 메인 메뉴</t>
    <phoneticPr fontId="1" type="noConversion"/>
  </si>
  <si>
    <t>건너뛰기 링크 실행 시 스크롤 동작과 함께 연결된 목적지 섹션으로 Focus 이벤트가 발생해야 함</t>
    <phoneticPr fontId="1" type="noConversion"/>
  </si>
  <si>
    <t>메뉴 링크의 계층 구조를 표현해야 함</t>
    <phoneticPr fontId="1" type="noConversion"/>
  </si>
  <si>
    <t>키보드의 초점은 메뉴의 계층 순서대로 이동하도록 해야 함</t>
    <phoneticPr fontId="1" type="noConversion"/>
  </si>
  <si>
    <t>1-2-3. 브레드크럼</t>
    <phoneticPr fontId="1" type="noConversion"/>
  </si>
  <si>
    <t>경로 목록을 &lt;nav&gt; 구획으로 감싸고 적절한 구획 제목을 제공해야 함</t>
    <phoneticPr fontId="1" type="noConversion"/>
  </si>
  <si>
    <t>순서 있는 목록을 사용해야 함</t>
    <phoneticPr fontId="1" type="noConversion"/>
  </si>
  <si>
    <t>스크린 리더에서 구분자 정보가 탐지되지 않도록 해야 함</t>
    <phoneticPr fontId="1" type="noConversion"/>
  </si>
  <si>
    <t>1-2-4. 사이드 메뉴</t>
    <phoneticPr fontId="1" type="noConversion"/>
  </si>
  <si>
    <t>메뉴의 컨테이너가 내비게이션 섹션임을 스크린 리더에서 인지할 수 있도록 해야 함</t>
    <phoneticPr fontId="1" type="noConversion"/>
  </si>
  <si>
    <t>활성화된 메뉴 정보가 스크린 리더로 전달될 수 있도록 해야 함</t>
    <phoneticPr fontId="1" type="noConversion"/>
  </si>
  <si>
    <t>식별자 영역은 구조적으로 푸터 내부에 포함되도록 제공해야 함</t>
    <phoneticPr fontId="1" type="noConversion"/>
  </si>
  <si>
    <t>푸터 영역이 스크린 리더에 인지될 수 있는 방식으로 제공해야 함</t>
    <phoneticPr fontId="1" type="noConversion"/>
  </si>
  <si>
    <t>로고 이미지에 대체 텍스트를 제공해야 함</t>
    <phoneticPr fontId="1" type="noConversion"/>
  </si>
  <si>
    <t>건너뛰기 링크를 최상단에 배치해야 함</t>
    <phoneticPr fontId="1" type="noConversion"/>
  </si>
  <si>
    <t>건너뛰기 링크 목록은 문서의 가장 첫 요소로 제공해야 함</t>
    <phoneticPr fontId="1" type="noConversion"/>
  </si>
  <si>
    <t>건너뛰기 링크의 초점이 명확하게 구분되도록 표현해야 함</t>
    <phoneticPr fontId="1" type="noConversion"/>
  </si>
  <si>
    <t>메뉴 링크는 키보드로 탐색할 수 있도록 해야 함</t>
    <phoneticPr fontId="1" type="noConversion"/>
  </si>
  <si>
    <t>축소된 메뉴 링크에 보조 기술이 접근되지 않도록 제공해야 함</t>
    <phoneticPr fontId="1" type="noConversion"/>
  </si>
  <si>
    <t>키보드로 접근과 조작이 가능하도록 해야 함</t>
    <phoneticPr fontId="1" type="noConversion"/>
  </si>
  <si>
    <t>콘텐츠 내 탐색은 제목과 본문 사이에 배치해야 함</t>
    <phoneticPr fontId="1" type="noConversion"/>
  </si>
  <si>
    <t>키보드로 콘텐츠 내 탐색 링크를 실행하였을 때 화면과 함께 키보드 초점이 해당 섹션으로 이동되도록 해야 함</t>
    <phoneticPr fontId="1" type="noConversion"/>
  </si>
  <si>
    <t>링크 목록에 &lt;h1&gt;을 사용하지 말아야 함</t>
    <phoneticPr fontId="1" type="noConversion"/>
  </si>
  <si>
    <t>1-2-5. 콘텐츠 내 탐색</t>
    <phoneticPr fontId="1" type="noConversion"/>
  </si>
  <si>
    <t>1-2.-6. 페이지네이션</t>
    <phoneticPr fontId="1" type="noConversion"/>
  </si>
  <si>
    <t>페이지네이션의 컨테이너가 내비게이션 섹션임을 스크린 리더에서 인지할 수 있도록 해야 함</t>
    <phoneticPr fontId="1" type="noConversion"/>
  </si>
  <si>
    <t>숫자 링크 목록의 구조를 표현해야 함</t>
    <phoneticPr fontId="1" type="noConversion"/>
  </si>
  <si>
    <t>스크린 리더에서 확인할 수 있는 현재 화면 정보를 제공해야 함</t>
    <phoneticPr fontId="1" type="noConversion"/>
  </si>
  <si>
    <t>현재 화면 숫자 링크를 색상만으로 구분하지 말아야 함</t>
    <phoneticPr fontId="1" type="noConversion"/>
  </si>
  <si>
    <t>숫자 링크에 적절한 접근 가능한 이름을 제공해야 함</t>
    <phoneticPr fontId="1" type="noConversion"/>
  </si>
  <si>
    <t>이전/다음 화면 이동 버튼을 아이콘으로만 제공하는 경우 이름을 제공해야 함</t>
    <phoneticPr fontId="1" type="noConversion"/>
  </si>
  <si>
    <t>페이지네이션의 구성 요소를 적절한 크기로 표현하고 영역 간 구분을 제공해야 함</t>
    <phoneticPr fontId="1" type="noConversion"/>
  </si>
  <si>
    <t>페이지네이션의 구성 요소를 일관된 순서로 제공해야 함</t>
    <phoneticPr fontId="1" type="noConversion"/>
  </si>
  <si>
    <t>목록 확장 페이지네이션을 사용할 때, 초점 이동 순서에 유의해야 함</t>
    <phoneticPr fontId="1" type="noConversion"/>
  </si>
  <si>
    <t>1-3. 레이아웃 표현</t>
    <phoneticPr fontId="1" type="noConversion"/>
  </si>
  <si>
    <t>1-4. 액션</t>
    <phoneticPr fontId="1" type="noConversion"/>
  </si>
  <si>
    <t>1-5. 선택</t>
    <phoneticPr fontId="1" type="noConversion"/>
  </si>
  <si>
    <t>1-6. 피드백</t>
    <phoneticPr fontId="1" type="noConversion"/>
  </si>
  <si>
    <t>1-7. 도움</t>
    <phoneticPr fontId="1" type="noConversion"/>
  </si>
  <si>
    <t>1-8. 입력</t>
    <phoneticPr fontId="1" type="noConversion"/>
  </si>
  <si>
    <t xml:space="preserve">1-9. 설정 </t>
    <phoneticPr fontId="1" type="noConversion"/>
  </si>
  <si>
    <t>1-10. 모바일</t>
    <phoneticPr fontId="1" type="noConversion"/>
  </si>
  <si>
    <t>1-3-1. 구조화 목록</t>
    <phoneticPr fontId="1" type="noConversion"/>
  </si>
  <si>
    <t>구조화 목록에서 제공되는 모든 기능에 키보드 초점이 명확하게 표시되도록 해야 함</t>
    <phoneticPr fontId="1" type="noConversion"/>
  </si>
  <si>
    <t>구조화 목록에서 제공되는 모든 기능을 키보드로 실행할 수 있도록 해야 함</t>
    <phoneticPr fontId="1" type="noConversion"/>
  </si>
  <si>
    <t>구조화 목록에서 제공되는 모든 기능은 사용자가 예측 가능한 방식으로 작동해야 함</t>
    <phoneticPr fontId="1" type="noConversion"/>
  </si>
  <si>
    <t>1-3-2. 긴급 공지</t>
    <phoneticPr fontId="1" type="noConversion"/>
  </si>
  <si>
    <t>1-3-3. 달력</t>
    <phoneticPr fontId="1" type="noConversion"/>
  </si>
  <si>
    <t>1-3-4. 디스클로저</t>
    <phoneticPr fontId="1" type="noConversion"/>
  </si>
  <si>
    <t>1-3-5. 모달</t>
    <phoneticPr fontId="1" type="noConversion"/>
  </si>
  <si>
    <t>1-3-6. 배지</t>
    <phoneticPr fontId="1" type="noConversion"/>
  </si>
  <si>
    <t>1-3-7. 아코디언</t>
    <phoneticPr fontId="1" type="noConversion"/>
  </si>
  <si>
    <t>1-3-8. 이미지</t>
    <phoneticPr fontId="1" type="noConversion"/>
  </si>
  <si>
    <t>1-3-9. 캐러셀</t>
    <phoneticPr fontId="1" type="noConversion"/>
  </si>
  <si>
    <t>1-3-10. 탭</t>
    <phoneticPr fontId="1" type="noConversion"/>
  </si>
  <si>
    <t>1-3-11. 표</t>
    <phoneticPr fontId="1" type="noConversion"/>
  </si>
  <si>
    <t>1-3-12. 텍스트 목록</t>
    <phoneticPr fontId="1" type="noConversion"/>
  </si>
  <si>
    <t>1-4-1. 링크</t>
    <phoneticPr fontId="1" type="noConversion"/>
  </si>
  <si>
    <t>1-4-2. 버튼</t>
    <phoneticPr fontId="1" type="noConversion"/>
  </si>
  <si>
    <t>1-5-1. 라디오 버튼</t>
    <phoneticPr fontId="1" type="noConversion"/>
  </si>
  <si>
    <t>1-5-2. 체크박스</t>
    <phoneticPr fontId="1" type="noConversion"/>
  </si>
  <si>
    <t>1-5-3. 셀렉트</t>
    <phoneticPr fontId="1" type="noConversion"/>
  </si>
  <si>
    <t>긴급 공지 섹션에 배너 역할을 제공해야 함</t>
    <phoneticPr fontId="1" type="noConversion"/>
  </si>
  <si>
    <t>아이콘에 대체 텍스트를 제공하지 말아야 함</t>
    <phoneticPr fontId="1" type="noConversion"/>
  </si>
  <si>
    <t>목적지를 예측할 수 있는 링크 이름 또는 부가 설명을 제공해야 함</t>
    <phoneticPr fontId="1" type="noConversion"/>
  </si>
  <si>
    <t>해당없음</t>
    <phoneticPr fontId="1" type="noConversion"/>
  </si>
  <si>
    <t>날짜 및 관련 정보의 의미를 색상으로만 구분하지 말아야 함</t>
    <phoneticPr fontId="1" type="noConversion"/>
  </si>
  <si>
    <t>날짜 및 관련 정보의 의미를 스크린 리더에서 확인할 수 있도록 해야 함</t>
    <phoneticPr fontId="1" type="noConversion"/>
  </si>
  <si>
    <t>달력에서 제공되는 모든 기능을 키보드로 실행할 수 있도록 해야 함</t>
    <phoneticPr fontId="1" type="noConversion"/>
  </si>
  <si>
    <t>달력에서 제공되는 모든 기능에 키보드 초점이 명확하게 표시되도록 해야 함</t>
    <phoneticPr fontId="1" type="noConversion"/>
  </si>
  <si>
    <t>디스클로저를 버튼 역할로 제공해야 함</t>
    <phoneticPr fontId="1" type="noConversion"/>
  </si>
  <si>
    <t>스크린 리더에서 확장/축소 상태 정보를 확인할 수 있도록 해야 함</t>
    <phoneticPr fontId="1" type="noConversion"/>
  </si>
  <si>
    <t>모달과 내부 요소의 초점 이동 순서를 논리적으로 제공해야 함</t>
    <phoneticPr fontId="1" type="noConversion"/>
  </si>
  <si>
    <t>모달의 닫기 버튼은 모달의 가장 마지막 요소로 마크업해야 함</t>
    <phoneticPr fontId="1" type="noConversion"/>
  </si>
  <si>
    <t>텍스트 레이블을 제공해야 함</t>
    <phoneticPr fontId="1" type="noConversion"/>
  </si>
  <si>
    <t>텍스트 레이블의 색상은 배경과 4.5:1 이상의 명도 대비를 갖도록 표현해야 함</t>
    <phoneticPr fontId="1" type="noConversion"/>
  </si>
  <si>
    <t>아코디언에 접근 가능한 제목을 제공해야 함</t>
    <phoneticPr fontId="1" type="noConversion"/>
  </si>
  <si>
    <t>아코디언의 활성화 상태 정보를 스크린 리더에서 확인할 수 있도록 해야 함</t>
    <phoneticPr fontId="1" type="noConversion"/>
  </si>
  <si>
    <t>헤더를 버튼 역할로 제공해야 함</t>
    <phoneticPr fontId="1" type="noConversion"/>
  </si>
  <si>
    <t>장식용 이미지를 제외한 모든 이미지에 대체 텍스트를 제공해야 함</t>
    <phoneticPr fontId="1" type="noConversion"/>
  </si>
  <si>
    <t>가능한 한 이미지 텍스트를 사용하지 말아야 함</t>
    <phoneticPr fontId="1" type="noConversion"/>
  </si>
  <si>
    <t>자동 재생 캐러셀에서 정지 버튼이 상호작용 가능한 첫 요소로 제공되어야 함</t>
    <phoneticPr fontId="1" type="noConversion"/>
  </si>
  <si>
    <t>단일 지점과의 상호작용을 통해 슬라이드를 탐색할 수 있는 수단을 제공해야 함</t>
    <phoneticPr fontId="1" type="noConversion"/>
  </si>
  <si>
    <t>키보드와 스크린 리더는 기본 항목에만 접근하도록 해야 함</t>
    <phoneticPr fontId="1" type="noConversion"/>
  </si>
  <si>
    <t>텍스트가 포함된 이미지를 사용하지 말아야 함</t>
    <phoneticPr fontId="1" type="noConversion"/>
  </si>
  <si>
    <t>탭의 선택 상태를 색상으로만 구분하지 말아야 함</t>
    <phoneticPr fontId="1" type="noConversion"/>
  </si>
  <si>
    <t>탭의 키보드 초점이 명확하게 표시되도록 해야 함</t>
    <phoneticPr fontId="1" type="noConversion"/>
  </si>
  <si>
    <t>탭의 선택 상태를 스크린 리더로 확인할 수 있도록 해야 함</t>
    <phoneticPr fontId="1" type="noConversion"/>
  </si>
  <si>
    <t>탭과 패널의 역할 및 관계를 스크린 리더로 확인할 수 있도록 해야 함</t>
    <phoneticPr fontId="1" type="noConversion"/>
  </si>
  <si>
    <t>가로 스크롤이 필요한 경우 단순한 동작으로 스크롤 위치를 조정할 수 있도록 해야 함</t>
    <phoneticPr fontId="1" type="noConversion"/>
  </si>
  <si>
    <t>목록 유형에 적합한 태그를 사용해야 함</t>
    <phoneticPr fontId="1" type="noConversion"/>
  </si>
  <si>
    <t>list-style-type: none 스타일 지정으로 인한 접근성 문제에 유의해야 함</t>
    <phoneticPr fontId="1" type="noConversion"/>
  </si>
  <si>
    <t>비활성화, 사용불가 상태인 경우를 제외하고 모든 링크는 키보드로 접근하고 조작할 수 있도록 해야 함</t>
    <phoneticPr fontId="1" type="noConversion"/>
  </si>
  <si>
    <t>링크 텍스트는 링크 목적지 정보를 적절하게 설명할 수 있는 내용으로 제공해야 함</t>
    <phoneticPr fontId="1" type="noConversion"/>
  </si>
  <si>
    <t>링크 레이블은 고유한 내용으로 제공해야 함</t>
    <phoneticPr fontId="1" type="noConversion"/>
  </si>
  <si>
    <t>링크를 적절한 크기로 제공해야 함</t>
    <phoneticPr fontId="1" type="noConversion"/>
  </si>
  <si>
    <t>링크로 작동하는 모든 요소는 스크린 리더에서 링크로 인지될 수 있도록 해야 함</t>
    <phoneticPr fontId="1" type="noConversion"/>
  </si>
  <si>
    <t>모든 버튼에는 접근 가능한 이름을 제공해야 함</t>
    <phoneticPr fontId="1" type="noConversion"/>
  </si>
  <si>
    <t>버튼의 기능을 설명할 수 있는 텍스트 레이블이 있는 아이콘 버튼에 대체 텍스트를 제공하지 말아야 함</t>
    <phoneticPr fontId="1" type="noConversion"/>
  </si>
  <si>
    <t>버튼의 접근 가능한 이름은 버튼을 통해 실행되는 기능을 적절하게 설명할 수 있는 내용으로 제공해야 함</t>
    <phoneticPr fontId="1" type="noConversion"/>
  </si>
  <si>
    <t>모든 버튼은 키보드로 접근하고 조작할 수 있도록 해야 함</t>
    <phoneticPr fontId="1" type="noConversion"/>
  </si>
  <si>
    <t>버튼의 키보드 초점이 명확하게 표시되도록 해야 함</t>
    <phoneticPr fontId="1" type="noConversion"/>
  </si>
  <si>
    <t>버튼으로 작동하는 모든 요소는 스크린 리더에서 버튼으로 인지될 수 있도록 해야 함</t>
    <phoneticPr fontId="1" type="noConversion"/>
  </si>
  <si>
    <t>버튼을 적절한 크기로 제공해야 함</t>
    <phoneticPr fontId="1" type="noConversion"/>
  </si>
  <si>
    <t>버튼 양식과 인접 배경 간 명도 대비를 3:1 이상으로 표현해야 함</t>
    <phoneticPr fontId="1" type="noConversion"/>
  </si>
  <si>
    <t>버튼 양식의 선택 상태를 색상으로만 구분하지 말아야 함</t>
    <phoneticPr fontId="1" type="noConversion"/>
  </si>
  <si>
    <t>라디오 버튼을 키보드로 탐색하고 실행할 수 있도록 해야 함</t>
    <phoneticPr fontId="1" type="noConversion"/>
  </si>
  <si>
    <t>라디오 버튼에 키보드 초점이 명확하게 표시되도록 해야 함</t>
    <phoneticPr fontId="1" type="noConversion"/>
  </si>
  <si>
    <t>라디오 버튼에 접근 가능한 이름을 제공해야 함</t>
    <phoneticPr fontId="1" type="noConversion"/>
  </si>
  <si>
    <t>스크린 리더에서 그룹 레이블과 라디오 버튼 그룹의 관계를 확인할 수 있도록 해야 함</t>
    <phoneticPr fontId="1" type="noConversion"/>
  </si>
  <si>
    <t>체크박스, 아이콘과 인접 배경 간 명도 대비를 3:1 이상으로 표현해야 함</t>
    <phoneticPr fontId="1" type="noConversion"/>
  </si>
  <si>
    <t>체크박스의 선택 상태를 색상으로만 구분하지 말아야 함</t>
    <phoneticPr fontId="1" type="noConversion"/>
  </si>
  <si>
    <t>체크박스를 키보드로 탐색하고 실행할 수 있도록 해야 함</t>
    <phoneticPr fontId="1" type="noConversion"/>
  </si>
  <si>
    <t>체크박스에 키보드 초점이 명확하게 표시되도록 해야 함</t>
    <phoneticPr fontId="1" type="noConversion"/>
  </si>
  <si>
    <t>체크박스에 접근 가능한 이름을 제공해야 함</t>
    <phoneticPr fontId="1" type="noConversion"/>
  </si>
  <si>
    <t>스크린 리더에서 그룹 레이블과 체크박스 그룹의 관계를 확인할 수 있도록 해야 함</t>
    <phoneticPr fontId="1" type="noConversion"/>
  </si>
  <si>
    <t>셀렉트에 접근 가능한 이름을 제공해야 함</t>
    <phoneticPr fontId="1" type="noConversion"/>
  </si>
  <si>
    <t>셀렉트 아이콘과 인접 배경 간 명도 대비를 3:1 이상으로 표현해야 함</t>
    <phoneticPr fontId="1" type="noConversion"/>
  </si>
  <si>
    <t>1-5-4. 태그</t>
    <phoneticPr fontId="1" type="noConversion"/>
  </si>
  <si>
    <t>1-5-5. 토글 스위치</t>
    <phoneticPr fontId="1" type="noConversion"/>
  </si>
  <si>
    <t>대화형 태그의 초점을 명확하게 표시해야 함</t>
    <phoneticPr fontId="1" type="noConversion"/>
  </si>
  <si>
    <t>대화형 태그에 기능 또는 상태 정보를 명확하게 제공해야 함</t>
    <phoneticPr fontId="1" type="noConversion"/>
  </si>
  <si>
    <t>태그의 색상으로 의미를 전달하지 말아야 함</t>
    <phoneticPr fontId="1" type="noConversion"/>
  </si>
  <si>
    <t>태그 레이블, 아이콘이 인접 배경과 3:1 이상의 명도 대비를 갖도록 표현해야 함</t>
    <phoneticPr fontId="1" type="noConversion"/>
  </si>
  <si>
    <t>경로, 핸들, 상태 아이콘과 인접 배경 간 명도 대비를 3:1 이상으로 표현해야 함</t>
    <phoneticPr fontId="1" type="noConversion"/>
  </si>
  <si>
    <t>토글 스위치를 키보드로 탐색하고 실행할 수 있도록 해야 함</t>
    <phoneticPr fontId="1" type="noConversion"/>
  </si>
  <si>
    <t>토글 스위치에 키보드 초점이 명확하게 표시되도록 해야 함</t>
    <phoneticPr fontId="1" type="noConversion"/>
  </si>
  <si>
    <t>토글 스위치에 접근 가능한 이름을 제공해야 함</t>
    <phoneticPr fontId="1" type="noConversion"/>
  </si>
  <si>
    <t>스크린 리더에서 도움말을 인지할 수 있도록 해야 함</t>
    <phoneticPr fontId="1" type="noConversion"/>
  </si>
  <si>
    <t>1-6-1. 단계 표시기</t>
    <phoneticPr fontId="1" type="noConversion"/>
  </si>
  <si>
    <t>단계 식별자를 색상으로만 구분하여 표현하지 말아야 함</t>
    <phoneticPr fontId="1" type="noConversion"/>
  </si>
  <si>
    <t>현재 단계를 스크린 리더로 확인할 수 있도록 해야 함</t>
    <phoneticPr fontId="1" type="noConversion"/>
  </si>
  <si>
    <t>인접 배경과 경로 간 명도 대비, 경로와 식별자 간 명도 대비를 3:1 이상으로 표현해야 함</t>
    <phoneticPr fontId="1" type="noConversion"/>
  </si>
  <si>
    <t>스피너 상태에 대한 설명을 스크린 리더에서 확인할 수 있도록 해야 함</t>
    <phoneticPr fontId="1" type="noConversion"/>
  </si>
  <si>
    <t>1-6-2. 스피너</t>
    <phoneticPr fontId="1" type="noConversion"/>
  </si>
  <si>
    <t>1-7-1. 도움 패널</t>
    <phoneticPr fontId="1" type="noConversion"/>
  </si>
  <si>
    <t>아이콘과 인접 배경 간 명도 대비를 3:1 이상으로 제공해야 함</t>
    <phoneticPr fontId="1" type="noConversion"/>
  </si>
  <si>
    <t>아이콘 버튼에 이름을 제공해야 함</t>
    <phoneticPr fontId="1" type="noConversion"/>
  </si>
  <si>
    <t>아이콘 버튼에 고유하고 적절한 이름을 제공해야 함</t>
    <phoneticPr fontId="1" type="noConversion"/>
  </si>
  <si>
    <t>키보드 초점은 논리적인 순서로 이동해야 함</t>
    <phoneticPr fontId="1" type="noConversion"/>
  </si>
  <si>
    <t>아이콘 버튼의 크기를 44px x 44px 이상으로 제공하는 방안을 고려해야 함</t>
    <phoneticPr fontId="1" type="noConversion"/>
  </si>
  <si>
    <t>패널 열기 버튼과 패널은 본문 바로 다음 요소로 제공해야 함</t>
    <phoneticPr fontId="1" type="noConversion"/>
  </si>
  <si>
    <t>1-7-2. 따라하기 패널</t>
    <phoneticPr fontId="1" type="noConversion"/>
  </si>
  <si>
    <t>1-7-3. 맥락적 도움말</t>
    <phoneticPr fontId="1" type="noConversion"/>
  </si>
  <si>
    <t>맥락적 도움말은 사용자가 요청한 경우에만 실행되어야 함</t>
    <phoneticPr fontId="1" type="noConversion"/>
  </si>
  <si>
    <t>아이콘 버튼과 도움말 팝오버 콘텐츠를 적절한 순서로 제공해야 함</t>
    <phoneticPr fontId="1" type="noConversion"/>
  </si>
  <si>
    <t>1-7-4. 코치마크</t>
    <phoneticPr fontId="1" type="noConversion"/>
  </si>
  <si>
    <t>스포트라이트와 인접 배경 간 명도 대비를 3:1 이상으로 제공해야 함</t>
    <phoneticPr fontId="1" type="noConversion"/>
  </si>
  <si>
    <t>코치마크는 사용자가 요청한 경우에만 실행되어야 함</t>
    <phoneticPr fontId="1" type="noConversion"/>
  </si>
  <si>
    <t>관련 요소와 코치마크 팝오버 콘텐츠를 적절한 순서로 제공해야 함</t>
    <phoneticPr fontId="1" type="noConversion"/>
  </si>
  <si>
    <t>활성화 버튼에 이름을 제공해야 함</t>
    <phoneticPr fontId="1" type="noConversion"/>
  </si>
  <si>
    <t>1-7-5. 툴팁</t>
    <phoneticPr fontId="1" type="noConversion"/>
  </si>
  <si>
    <t>활성화 버튼에 고유하고 적절한 이름을 제공해야 함</t>
    <phoneticPr fontId="1" type="noConversion"/>
  </si>
  <si>
    <t>활성화 버튼과 컨테이너 영역을 aria-labelledby 속성으로 연결해야 함</t>
    <phoneticPr fontId="1" type="noConversion"/>
  </si>
  <si>
    <t>활성화 버튼과 팝오버 콘텐츠를 적절한 순서로 제공해야 함</t>
    <phoneticPr fontId="1" type="noConversion"/>
  </si>
  <si>
    <t>1-8-1. 날짜 입력 필드</t>
    <phoneticPr fontId="1" type="noConversion"/>
  </si>
  <si>
    <t>1-8-2. 텍스트 영역</t>
    <phoneticPr fontId="1" type="noConversion"/>
  </si>
  <si>
    <t>1-8-3. 텍스트 입력 필드</t>
    <phoneticPr fontId="1" type="noConversion"/>
  </si>
  <si>
    <t>1-8-4. 파일 업로드</t>
    <phoneticPr fontId="1" type="noConversion"/>
  </si>
  <si>
    <t>키보드를 이용하여 조회 날짜를 선택하거나 입력할 수 있도록 제공해야 함</t>
    <phoneticPr fontId="1" type="noConversion"/>
  </si>
  <si>
    <t>입력 필드에 레이블을 명확하게 지정해야 함</t>
    <phoneticPr fontId="1" type="noConversion"/>
  </si>
  <si>
    <t>날짜 입력 형식이 지정되어 있는 경우 사용자에게 입력 방식을 명확하게 안내해야 함</t>
    <phoneticPr fontId="1" type="noConversion"/>
  </si>
  <si>
    <t>입력 영역과 인접 배경 간 명도 대비를 3:1 이상으로 제공해야 함</t>
    <phoneticPr fontId="1" type="noConversion"/>
  </si>
  <si>
    <t>텍스트 영역에 접근 가능한 이름을 제공해야 함</t>
    <phoneticPr fontId="1" type="noConversion"/>
  </si>
  <si>
    <t>모든 입력 필드의 초점은 시각적으로 확인할 수 있도록 표현해야 함</t>
    <phoneticPr fontId="1" type="noConversion"/>
  </si>
  <si>
    <t>입력 필드와 인접 배경 간 명도 대비를 3:1 이상으로 표현해야 함</t>
    <phoneticPr fontId="1" type="noConversion"/>
  </si>
  <si>
    <t>텍스트 입력 필드에 접근 가능한 이름을 제공해야 함</t>
    <phoneticPr fontId="1" type="noConversion"/>
  </si>
  <si>
    <t>파일 업로드에 적절한 레이블을 제공해야 함</t>
    <phoneticPr fontId="1" type="noConversion"/>
  </si>
  <si>
    <t>파일 항목과 항목 삭제 버튼을 하나의 그룹으로 제공해야 함</t>
    <phoneticPr fontId="1" type="noConversion"/>
  </si>
  <si>
    <t>키보드 초점을 명확하게 표시해야 함</t>
    <phoneticPr fontId="1" type="noConversion"/>
  </si>
  <si>
    <t>드래그 앤 드롭 유형은 반드시 파일 업로더와 함께 사용해야 함</t>
    <phoneticPr fontId="1" type="noConversion"/>
  </si>
  <si>
    <t>스크린 리더로 접근할 수 있도록 해야 함</t>
    <phoneticPr fontId="1" type="noConversion"/>
  </si>
  <si>
    <t>1-9-1. 언어 변경</t>
    <phoneticPr fontId="1" type="noConversion"/>
  </si>
  <si>
    <t>1-9-2. 화면 크기 조정</t>
    <phoneticPr fontId="1" type="noConversion"/>
  </si>
  <si>
    <t>링크에 lang 속성을 선언하고 레이블과 일치하는 언어 코드를 속성값으로 제공해야 함</t>
    <phoneticPr fontId="1" type="noConversion"/>
  </si>
  <si>
    <t>화면 크기를 조정했을 때 콘텐츠가 가려지거나 기능이 손실되지 않도록 해야 함</t>
    <phoneticPr fontId="1" type="noConversion"/>
  </si>
  <si>
    <t>화면을 확대했을 때 화면 스크롤은 단일 방향으로 유지/생성되도록 해야 함</t>
    <phoneticPr fontId="1" type="noConversion"/>
  </si>
  <si>
    <t>해당없음</t>
  </si>
  <si>
    <t>해당없음</t>
    <phoneticPr fontId="1" type="noConversion"/>
  </si>
  <si>
    <t>준수</t>
    <phoneticPr fontId="1" type="noConversion"/>
  </si>
  <si>
    <t>준수</t>
    <phoneticPr fontId="1" type="noConversion"/>
  </si>
  <si>
    <t>미준수</t>
    <phoneticPr fontId="1" type="noConversion"/>
  </si>
  <si>
    <t>캐러셀에서 제공되는 모든 기능을 키보드로 실행할 수 있도록 한다.</t>
    <phoneticPr fontId="1" type="noConversion"/>
  </si>
  <si>
    <t>탭을 키보드로 탐색하고 실행할 수 있도록 해야 함</t>
    <phoneticPr fontId="1" type="noConversion"/>
  </si>
  <si>
    <t>해당없음</t>
    <phoneticPr fontId="1" type="noConversion"/>
  </si>
  <si>
    <t>미준수</t>
    <phoneticPr fontId="1" type="noConversion"/>
  </si>
  <si>
    <t>준수</t>
    <phoneticPr fontId="1" type="noConversion"/>
  </si>
  <si>
    <t>데이터의 구조를 적절하게 반영하여 마크업 해야 함</t>
    <phoneticPr fontId="1" type="noConversion"/>
  </si>
  <si>
    <t>입력과 중복</t>
    <phoneticPr fontId="1" type="noConversion"/>
  </si>
  <si>
    <t>금융감독원 홈페이지 UIUX 접근성점검 체크 리스트 목록 - KR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</si>
</sst>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14" fontId="4" fillId="0" borderId="0" xfId="0" applyNumberFormat="1" applyFont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0" xfId="0" applyFon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3" borderId="5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90E1-7112-4806-ADC5-98CA8498E977}">
  <sheetPr>
    <tabColor theme="5" tint="0.59999389629810485"/>
  </sheetPr>
  <dimension ref="A1:G165"/>
  <sheetViews>
    <sheetView tabSelected="1" zoomScale="98" zoomScaleNormal="98" workbookViewId="0">
      <selection activeCell="A3" sqref="A3"/>
    </sheetView>
  </sheetViews>
  <sheetFormatPr defaultRowHeight="17" x14ac:dyDescent="0.45"/>
  <cols>
    <col min="1" max="1" width="21.25" customWidth="1"/>
    <col min="2" max="2" width="18.58203125" customWidth="1"/>
    <col min="3" max="3" width="29.08203125" customWidth="1"/>
    <col min="4" max="4" width="123.5" style="5" customWidth="1"/>
    <col min="5" max="5" width="13.33203125" style="8" customWidth="1"/>
    <col min="6" max="6" width="15" customWidth="1"/>
    <col min="7" max="7" width="7.5" customWidth="1"/>
  </cols>
  <sheetData>
    <row r="1" spans="1:5" x14ac:dyDescent="0.45">
      <c r="D1"/>
    </row>
    <row r="2" spans="1:5" s="7" customFormat="1" ht="30" customHeight="1" x14ac:dyDescent="0.45">
      <c r="A2" s="7" t="s">
        <v>212</v>
      </c>
      <c r="E2" s="9">
        <f ca="1">TODAY()</f>
        <v>46058</v>
      </c>
    </row>
    <row r="3" spans="1:5" ht="8.25" customHeight="1" x14ac:dyDescent="0.45">
      <c r="D3"/>
    </row>
    <row r="4" spans="1:5" ht="26.25" customHeight="1" x14ac:dyDescent="0.45">
      <c r="A4" s="1" t="s">
        <v>3</v>
      </c>
      <c r="B4" s="1" t="s">
        <v>0</v>
      </c>
      <c r="C4" s="1" t="s">
        <v>1</v>
      </c>
      <c r="D4" s="2" t="s">
        <v>4</v>
      </c>
      <c r="E4" s="1" t="s">
        <v>2</v>
      </c>
    </row>
    <row r="5" spans="1:5" x14ac:dyDescent="0.45">
      <c r="A5" s="30" t="s">
        <v>13</v>
      </c>
      <c r="B5" s="27" t="s">
        <v>14</v>
      </c>
      <c r="C5" s="25" t="s">
        <v>17</v>
      </c>
      <c r="D5" s="19" t="s">
        <v>16</v>
      </c>
      <c r="E5" s="20" t="s">
        <v>202</v>
      </c>
    </row>
    <row r="6" spans="1:5" x14ac:dyDescent="0.45">
      <c r="A6" s="31"/>
      <c r="B6" s="28"/>
      <c r="C6" s="27" t="s">
        <v>18</v>
      </c>
      <c r="D6" s="19" t="s">
        <v>34</v>
      </c>
      <c r="E6" s="20" t="s">
        <v>208</v>
      </c>
    </row>
    <row r="7" spans="1:5" x14ac:dyDescent="0.45">
      <c r="A7" s="31"/>
      <c r="B7" s="28"/>
      <c r="C7" s="29"/>
      <c r="D7" s="19" t="s">
        <v>21</v>
      </c>
      <c r="E7" s="20" t="s">
        <v>208</v>
      </c>
    </row>
    <row r="8" spans="1:5" x14ac:dyDescent="0.45">
      <c r="A8" s="31"/>
      <c r="B8" s="28"/>
      <c r="C8" s="27" t="s">
        <v>19</v>
      </c>
      <c r="D8" s="26" t="s">
        <v>35</v>
      </c>
      <c r="E8" s="20" t="s">
        <v>209</v>
      </c>
    </row>
    <row r="9" spans="1:5" x14ac:dyDescent="0.45">
      <c r="A9" s="31"/>
      <c r="B9" s="28"/>
      <c r="C9" s="28"/>
      <c r="D9" s="26" t="s">
        <v>36</v>
      </c>
      <c r="E9" s="20" t="s">
        <v>208</v>
      </c>
    </row>
    <row r="10" spans="1:5" x14ac:dyDescent="0.45">
      <c r="A10" s="31"/>
      <c r="B10" s="28"/>
      <c r="C10" s="27" t="s">
        <v>20</v>
      </c>
      <c r="D10" s="19" t="s">
        <v>37</v>
      </c>
      <c r="E10" s="20" t="s">
        <v>209</v>
      </c>
    </row>
    <row r="11" spans="1:5" x14ac:dyDescent="0.45">
      <c r="A11" s="31"/>
      <c r="B11" s="28"/>
      <c r="C11" s="28"/>
      <c r="D11" s="19" t="s">
        <v>36</v>
      </c>
      <c r="E11" s="20" t="s">
        <v>209</v>
      </c>
    </row>
    <row r="12" spans="1:5" x14ac:dyDescent="0.45">
      <c r="A12" s="31"/>
      <c r="B12" s="27" t="s">
        <v>15</v>
      </c>
      <c r="C12" s="27" t="s">
        <v>22</v>
      </c>
      <c r="D12" s="21" t="s">
        <v>38</v>
      </c>
      <c r="E12" s="20" t="s">
        <v>203</v>
      </c>
    </row>
    <row r="13" spans="1:5" x14ac:dyDescent="0.45">
      <c r="A13" s="31"/>
      <c r="B13" s="28"/>
      <c r="C13" s="28"/>
      <c r="D13" s="21" t="s">
        <v>39</v>
      </c>
      <c r="E13" s="20" t="s">
        <v>203</v>
      </c>
    </row>
    <row r="14" spans="1:5" x14ac:dyDescent="0.45">
      <c r="A14" s="31"/>
      <c r="B14" s="28"/>
      <c r="C14" s="29"/>
      <c r="D14" s="21" t="s">
        <v>24</v>
      </c>
      <c r="E14" s="20" t="s">
        <v>203</v>
      </c>
    </row>
    <row r="15" spans="1:5" x14ac:dyDescent="0.45">
      <c r="A15" s="31"/>
      <c r="B15" s="28"/>
      <c r="C15" s="27" t="s">
        <v>23</v>
      </c>
      <c r="D15" s="21" t="s">
        <v>32</v>
      </c>
      <c r="E15" s="20" t="s">
        <v>203</v>
      </c>
    </row>
    <row r="16" spans="1:5" x14ac:dyDescent="0.45">
      <c r="A16" s="31"/>
      <c r="B16" s="28"/>
      <c r="C16" s="28"/>
      <c r="D16" s="21" t="s">
        <v>25</v>
      </c>
      <c r="E16" s="20" t="s">
        <v>203</v>
      </c>
    </row>
    <row r="17" spans="1:5" x14ac:dyDescent="0.45">
      <c r="A17" s="31"/>
      <c r="B17" s="28"/>
      <c r="C17" s="28"/>
      <c r="D17" s="21" t="s">
        <v>33</v>
      </c>
      <c r="E17" s="20" t="s">
        <v>203</v>
      </c>
    </row>
    <row r="18" spans="1:5" x14ac:dyDescent="0.45">
      <c r="A18" s="31"/>
      <c r="B18" s="28"/>
      <c r="C18" s="28"/>
      <c r="D18" s="21" t="s">
        <v>40</v>
      </c>
      <c r="E18" s="20" t="s">
        <v>203</v>
      </c>
    </row>
    <row r="19" spans="1:5" x14ac:dyDescent="0.45">
      <c r="A19" s="31"/>
      <c r="B19" s="28"/>
      <c r="C19" s="29"/>
      <c r="D19" s="21" t="s">
        <v>26</v>
      </c>
      <c r="E19" s="20" t="s">
        <v>203</v>
      </c>
    </row>
    <row r="20" spans="1:5" x14ac:dyDescent="0.45">
      <c r="A20" s="31"/>
      <c r="B20" s="28"/>
      <c r="C20" s="27" t="s">
        <v>27</v>
      </c>
      <c r="D20" s="21" t="s">
        <v>28</v>
      </c>
      <c r="E20" s="20" t="s">
        <v>6</v>
      </c>
    </row>
    <row r="21" spans="1:5" x14ac:dyDescent="0.45">
      <c r="A21" s="31"/>
      <c r="B21" s="28"/>
      <c r="C21" s="28"/>
      <c r="D21" s="21" t="s">
        <v>29</v>
      </c>
      <c r="E21" s="20" t="s">
        <v>6</v>
      </c>
    </row>
    <row r="22" spans="1:5" x14ac:dyDescent="0.45">
      <c r="A22" s="31"/>
      <c r="B22" s="28"/>
      <c r="C22" s="29"/>
      <c r="D22" s="11" t="s">
        <v>30</v>
      </c>
      <c r="E22" s="6" t="s">
        <v>7</v>
      </c>
    </row>
    <row r="23" spans="1:5" x14ac:dyDescent="0.45">
      <c r="A23" s="31"/>
      <c r="B23" s="28"/>
      <c r="C23" s="27" t="s">
        <v>31</v>
      </c>
      <c r="D23" s="19" t="s">
        <v>32</v>
      </c>
      <c r="E23" s="20" t="s">
        <v>203</v>
      </c>
    </row>
    <row r="24" spans="1:5" x14ac:dyDescent="0.45">
      <c r="A24" s="31"/>
      <c r="B24" s="28"/>
      <c r="C24" s="28"/>
      <c r="D24" s="19" t="s">
        <v>25</v>
      </c>
      <c r="E24" s="20" t="s">
        <v>5</v>
      </c>
    </row>
    <row r="25" spans="1:5" x14ac:dyDescent="0.45">
      <c r="A25" s="31"/>
      <c r="B25" s="28"/>
      <c r="C25" s="28"/>
      <c r="D25" s="19" t="s">
        <v>33</v>
      </c>
      <c r="E25" s="20" t="s">
        <v>204</v>
      </c>
    </row>
    <row r="26" spans="1:5" x14ac:dyDescent="0.45">
      <c r="A26" s="31"/>
      <c r="B26" s="28"/>
      <c r="C26" s="28"/>
      <c r="D26" s="19" t="s">
        <v>40</v>
      </c>
      <c r="E26" s="20" t="s">
        <v>203</v>
      </c>
    </row>
    <row r="27" spans="1:5" x14ac:dyDescent="0.45">
      <c r="A27" s="31"/>
      <c r="B27" s="28"/>
      <c r="C27" s="28"/>
      <c r="D27" s="19" t="s">
        <v>26</v>
      </c>
      <c r="E27" s="20" t="s">
        <v>203</v>
      </c>
    </row>
    <row r="28" spans="1:5" x14ac:dyDescent="0.45">
      <c r="A28" s="31"/>
      <c r="B28" s="28"/>
      <c r="C28" s="28"/>
      <c r="D28" s="19" t="s">
        <v>41</v>
      </c>
      <c r="E28" s="20" t="s">
        <v>203</v>
      </c>
    </row>
    <row r="29" spans="1:5" x14ac:dyDescent="0.45">
      <c r="A29" s="31"/>
      <c r="B29" s="28"/>
      <c r="C29" s="27" t="s">
        <v>46</v>
      </c>
      <c r="D29" s="3" t="s">
        <v>42</v>
      </c>
      <c r="E29" s="6" t="s">
        <v>7</v>
      </c>
    </row>
    <row r="30" spans="1:5" x14ac:dyDescent="0.45">
      <c r="A30" s="31"/>
      <c r="B30" s="28"/>
      <c r="C30" s="28"/>
      <c r="D30" s="3" t="s">
        <v>43</v>
      </c>
      <c r="E30" s="6" t="s">
        <v>7</v>
      </c>
    </row>
    <row r="31" spans="1:5" x14ac:dyDescent="0.45">
      <c r="A31" s="31"/>
      <c r="B31" s="28"/>
      <c r="C31" s="28"/>
      <c r="D31" s="3" t="s">
        <v>44</v>
      </c>
      <c r="E31" s="6" t="s">
        <v>7</v>
      </c>
    </row>
    <row r="32" spans="1:5" x14ac:dyDescent="0.45">
      <c r="A32" s="31"/>
      <c r="B32" s="28"/>
      <c r="C32" s="29"/>
      <c r="D32" s="4" t="s">
        <v>45</v>
      </c>
      <c r="E32" s="6" t="s">
        <v>7</v>
      </c>
    </row>
    <row r="33" spans="1:6" x14ac:dyDescent="0.45">
      <c r="A33" s="31"/>
      <c r="B33" s="28"/>
      <c r="C33" s="27" t="s">
        <v>47</v>
      </c>
      <c r="D33" s="22" t="s">
        <v>48</v>
      </c>
      <c r="E33" s="20" t="s">
        <v>204</v>
      </c>
    </row>
    <row r="34" spans="1:6" x14ac:dyDescent="0.45">
      <c r="A34" s="31"/>
      <c r="B34" s="28"/>
      <c r="C34" s="28"/>
      <c r="D34" s="23" t="s">
        <v>49</v>
      </c>
      <c r="E34" s="20" t="s">
        <v>203</v>
      </c>
    </row>
    <row r="35" spans="1:6" x14ac:dyDescent="0.45">
      <c r="A35" s="31"/>
      <c r="B35" s="28"/>
      <c r="C35" s="28"/>
      <c r="D35" s="24" t="s">
        <v>50</v>
      </c>
      <c r="E35" s="20" t="s">
        <v>203</v>
      </c>
    </row>
    <row r="36" spans="1:6" x14ac:dyDescent="0.45">
      <c r="A36" s="31"/>
      <c r="B36" s="28"/>
      <c r="C36" s="28"/>
      <c r="D36" s="10" t="s">
        <v>51</v>
      </c>
      <c r="E36" s="6" t="s">
        <v>7</v>
      </c>
    </row>
    <row r="37" spans="1:6" x14ac:dyDescent="0.45">
      <c r="A37" s="31"/>
      <c r="B37" s="28"/>
      <c r="C37" s="28"/>
      <c r="D37" s="24" t="s">
        <v>52</v>
      </c>
      <c r="E37" s="20" t="s">
        <v>203</v>
      </c>
    </row>
    <row r="38" spans="1:6" x14ac:dyDescent="0.45">
      <c r="A38" s="31"/>
      <c r="B38" s="28"/>
      <c r="C38" s="28"/>
      <c r="D38" s="24" t="s">
        <v>53</v>
      </c>
      <c r="E38" s="20" t="s">
        <v>203</v>
      </c>
    </row>
    <row r="39" spans="1:6" x14ac:dyDescent="0.45">
      <c r="A39" s="31"/>
      <c r="B39" s="28"/>
      <c r="C39" s="28"/>
      <c r="D39" s="10" t="s">
        <v>54</v>
      </c>
      <c r="E39" s="6" t="s">
        <v>7</v>
      </c>
    </row>
    <row r="40" spans="1:6" x14ac:dyDescent="0.45">
      <c r="A40" s="31"/>
      <c r="B40" s="28"/>
      <c r="C40" s="28"/>
      <c r="D40" s="10" t="s">
        <v>55</v>
      </c>
      <c r="E40" s="6" t="s">
        <v>7</v>
      </c>
    </row>
    <row r="41" spans="1:6" x14ac:dyDescent="0.45">
      <c r="A41" s="31"/>
      <c r="B41" s="29"/>
      <c r="C41" s="29"/>
      <c r="D41" s="24" t="s">
        <v>56</v>
      </c>
      <c r="E41" s="20" t="s">
        <v>203</v>
      </c>
    </row>
    <row r="42" spans="1:6" x14ac:dyDescent="0.45">
      <c r="A42" s="31"/>
      <c r="B42" s="27" t="s">
        <v>57</v>
      </c>
      <c r="C42" s="27" t="s">
        <v>65</v>
      </c>
      <c r="D42" s="24" t="s">
        <v>67</v>
      </c>
      <c r="E42" s="20" t="s">
        <v>203</v>
      </c>
    </row>
    <row r="43" spans="1:6" x14ac:dyDescent="0.45">
      <c r="A43" s="31"/>
      <c r="B43" s="28"/>
      <c r="C43" s="28"/>
      <c r="D43" s="24" t="s">
        <v>66</v>
      </c>
      <c r="E43" s="20" t="s">
        <v>203</v>
      </c>
    </row>
    <row r="44" spans="1:6" x14ac:dyDescent="0.45">
      <c r="A44" s="31"/>
      <c r="B44" s="28"/>
      <c r="C44" s="28"/>
      <c r="D44" s="24" t="s">
        <v>68</v>
      </c>
      <c r="E44" s="20" t="s">
        <v>203</v>
      </c>
    </row>
    <row r="45" spans="1:6" x14ac:dyDescent="0.45">
      <c r="A45" s="31"/>
      <c r="B45" s="28"/>
      <c r="C45" s="27" t="s">
        <v>69</v>
      </c>
      <c r="D45" s="10" t="s">
        <v>85</v>
      </c>
      <c r="E45" s="6" t="s">
        <v>7</v>
      </c>
    </row>
    <row r="46" spans="1:6" x14ac:dyDescent="0.45">
      <c r="A46" s="31"/>
      <c r="B46" s="28"/>
      <c r="C46" s="28"/>
      <c r="D46" s="10" t="s">
        <v>86</v>
      </c>
      <c r="E46" s="6" t="s">
        <v>7</v>
      </c>
    </row>
    <row r="47" spans="1:6" x14ac:dyDescent="0.45">
      <c r="A47" s="31"/>
      <c r="B47" s="28"/>
      <c r="C47" s="29"/>
      <c r="D47" s="10" t="s">
        <v>87</v>
      </c>
      <c r="E47" s="6" t="s">
        <v>7</v>
      </c>
    </row>
    <row r="48" spans="1:6" x14ac:dyDescent="0.45">
      <c r="A48" s="31"/>
      <c r="B48" s="28"/>
      <c r="C48" s="27" t="s">
        <v>70</v>
      </c>
      <c r="D48" s="24" t="s">
        <v>89</v>
      </c>
      <c r="E48" s="20" t="s">
        <v>5</v>
      </c>
      <c r="F48" t="s">
        <v>211</v>
      </c>
    </row>
    <row r="49" spans="1:6" x14ac:dyDescent="0.45">
      <c r="A49" s="31"/>
      <c r="B49" s="28"/>
      <c r="C49" s="28"/>
      <c r="D49" s="24" t="s">
        <v>90</v>
      </c>
      <c r="E49" s="20" t="s">
        <v>5</v>
      </c>
      <c r="F49" t="s">
        <v>211</v>
      </c>
    </row>
    <row r="50" spans="1:6" x14ac:dyDescent="0.45">
      <c r="A50" s="31"/>
      <c r="B50" s="28"/>
      <c r="C50" s="28"/>
      <c r="D50" s="24" t="s">
        <v>91</v>
      </c>
      <c r="E50" s="20" t="s">
        <v>209</v>
      </c>
      <c r="F50" t="s">
        <v>211</v>
      </c>
    </row>
    <row r="51" spans="1:6" x14ac:dyDescent="0.45">
      <c r="A51" s="31"/>
      <c r="B51" s="28"/>
      <c r="C51" s="29"/>
      <c r="D51" s="24" t="s">
        <v>92</v>
      </c>
      <c r="E51" s="20" t="s">
        <v>5</v>
      </c>
      <c r="F51" t="s">
        <v>211</v>
      </c>
    </row>
    <row r="52" spans="1:6" x14ac:dyDescent="0.45">
      <c r="A52" s="31"/>
      <c r="B52" s="28"/>
      <c r="C52" s="27" t="s">
        <v>71</v>
      </c>
      <c r="D52" s="10" t="s">
        <v>93</v>
      </c>
      <c r="E52" s="6" t="s">
        <v>7</v>
      </c>
    </row>
    <row r="53" spans="1:6" x14ac:dyDescent="0.45">
      <c r="A53" s="31"/>
      <c r="B53" s="28"/>
      <c r="C53" s="29"/>
      <c r="D53" s="10" t="s">
        <v>94</v>
      </c>
      <c r="E53" s="6" t="s">
        <v>7</v>
      </c>
    </row>
    <row r="54" spans="1:6" x14ac:dyDescent="0.45">
      <c r="A54" s="31"/>
      <c r="B54" s="28"/>
      <c r="C54" s="27" t="s">
        <v>72</v>
      </c>
      <c r="D54" s="10" t="s">
        <v>95</v>
      </c>
      <c r="E54" s="6" t="s">
        <v>7</v>
      </c>
    </row>
    <row r="55" spans="1:6" x14ac:dyDescent="0.45">
      <c r="A55" s="31"/>
      <c r="B55" s="28"/>
      <c r="C55" s="28"/>
      <c r="D55" s="10" t="s">
        <v>96</v>
      </c>
      <c r="E55" s="6" t="s">
        <v>7</v>
      </c>
    </row>
    <row r="56" spans="1:6" x14ac:dyDescent="0.45">
      <c r="A56" s="31"/>
      <c r="B56" s="28"/>
      <c r="C56" s="27" t="s">
        <v>73</v>
      </c>
      <c r="D56" s="10" t="s">
        <v>97</v>
      </c>
      <c r="E56" s="6" t="s">
        <v>7</v>
      </c>
    </row>
    <row r="57" spans="1:6" x14ac:dyDescent="0.45">
      <c r="A57" s="31"/>
      <c r="B57" s="28"/>
      <c r="C57" s="29"/>
      <c r="D57" s="10" t="s">
        <v>98</v>
      </c>
      <c r="E57" s="6" t="s">
        <v>88</v>
      </c>
    </row>
    <row r="58" spans="1:6" x14ac:dyDescent="0.45">
      <c r="A58" s="31"/>
      <c r="B58" s="28"/>
      <c r="C58" s="27" t="s">
        <v>74</v>
      </c>
      <c r="D58" s="10" t="s">
        <v>99</v>
      </c>
      <c r="E58" s="6" t="s">
        <v>7</v>
      </c>
    </row>
    <row r="59" spans="1:6" x14ac:dyDescent="0.45">
      <c r="A59" s="31"/>
      <c r="B59" s="28"/>
      <c r="C59" s="28"/>
      <c r="D59" s="10" t="s">
        <v>100</v>
      </c>
      <c r="E59" s="6" t="s">
        <v>7</v>
      </c>
    </row>
    <row r="60" spans="1:6" x14ac:dyDescent="0.45">
      <c r="A60" s="31"/>
      <c r="B60" s="28"/>
      <c r="C60" s="29"/>
      <c r="D60" s="10" t="s">
        <v>101</v>
      </c>
      <c r="E60" s="6" t="s">
        <v>7</v>
      </c>
    </row>
    <row r="61" spans="1:6" x14ac:dyDescent="0.45">
      <c r="A61" s="31"/>
      <c r="B61" s="28"/>
      <c r="C61" s="27" t="s">
        <v>75</v>
      </c>
      <c r="D61" s="24" t="s">
        <v>102</v>
      </c>
      <c r="E61" s="20" t="s">
        <v>203</v>
      </c>
    </row>
    <row r="62" spans="1:6" x14ac:dyDescent="0.45">
      <c r="A62" s="31"/>
      <c r="B62" s="28"/>
      <c r="C62" s="28"/>
      <c r="D62" s="24" t="s">
        <v>103</v>
      </c>
      <c r="E62" s="20" t="s">
        <v>5</v>
      </c>
    </row>
    <row r="63" spans="1:6" x14ac:dyDescent="0.45">
      <c r="A63" s="31"/>
      <c r="B63" s="28"/>
      <c r="C63" s="27" t="s">
        <v>76</v>
      </c>
      <c r="D63" s="24" t="s">
        <v>104</v>
      </c>
      <c r="E63" s="20" t="s">
        <v>6</v>
      </c>
    </row>
    <row r="64" spans="1:6" x14ac:dyDescent="0.45">
      <c r="A64" s="31"/>
      <c r="B64" s="28"/>
      <c r="C64" s="28"/>
      <c r="D64" s="24" t="s">
        <v>105</v>
      </c>
      <c r="E64" s="20" t="s">
        <v>203</v>
      </c>
    </row>
    <row r="65" spans="1:5" x14ac:dyDescent="0.45">
      <c r="A65" s="31"/>
      <c r="B65" s="28"/>
      <c r="C65" s="28"/>
      <c r="D65" s="24" t="s">
        <v>205</v>
      </c>
      <c r="E65" s="20" t="s">
        <v>203</v>
      </c>
    </row>
    <row r="66" spans="1:5" x14ac:dyDescent="0.45">
      <c r="A66" s="31"/>
      <c r="B66" s="28"/>
      <c r="C66" s="28"/>
      <c r="D66" s="24" t="s">
        <v>106</v>
      </c>
      <c r="E66" s="20" t="s">
        <v>203</v>
      </c>
    </row>
    <row r="67" spans="1:5" x14ac:dyDescent="0.45">
      <c r="A67" s="31"/>
      <c r="B67" s="28"/>
      <c r="C67" s="29"/>
      <c r="D67" s="24" t="s">
        <v>107</v>
      </c>
      <c r="E67" s="20" t="s">
        <v>6</v>
      </c>
    </row>
    <row r="68" spans="1:5" x14ac:dyDescent="0.45">
      <c r="A68" s="31"/>
      <c r="B68" s="28"/>
      <c r="C68" s="27" t="s">
        <v>77</v>
      </c>
      <c r="D68" s="24" t="s">
        <v>108</v>
      </c>
      <c r="E68" s="20" t="s">
        <v>209</v>
      </c>
    </row>
    <row r="69" spans="1:5" x14ac:dyDescent="0.45">
      <c r="A69" s="31"/>
      <c r="B69" s="28"/>
      <c r="C69" s="28"/>
      <c r="D69" s="24" t="s">
        <v>206</v>
      </c>
      <c r="E69" s="20" t="s">
        <v>209</v>
      </c>
    </row>
    <row r="70" spans="1:5" x14ac:dyDescent="0.45">
      <c r="A70" s="31"/>
      <c r="B70" s="28"/>
      <c r="C70" s="28"/>
      <c r="D70" s="24" t="s">
        <v>109</v>
      </c>
      <c r="E70" s="20" t="s">
        <v>5</v>
      </c>
    </row>
    <row r="71" spans="1:5" x14ac:dyDescent="0.45">
      <c r="A71" s="31"/>
      <c r="B71" s="28"/>
      <c r="C71" s="28"/>
      <c r="D71" s="24" t="s">
        <v>110</v>
      </c>
      <c r="E71" s="20" t="s">
        <v>5</v>
      </c>
    </row>
    <row r="72" spans="1:5" x14ac:dyDescent="0.45">
      <c r="A72" s="31"/>
      <c r="B72" s="28"/>
      <c r="C72" s="28"/>
      <c r="D72" s="24" t="s">
        <v>111</v>
      </c>
      <c r="E72" s="20" t="s">
        <v>208</v>
      </c>
    </row>
    <row r="73" spans="1:5" x14ac:dyDescent="0.45">
      <c r="A73" s="31"/>
      <c r="B73" s="28"/>
      <c r="C73" s="27" t="s">
        <v>78</v>
      </c>
      <c r="D73" s="24" t="s">
        <v>210</v>
      </c>
      <c r="E73" s="20" t="s">
        <v>209</v>
      </c>
    </row>
    <row r="74" spans="1:5" x14ac:dyDescent="0.45">
      <c r="A74" s="31"/>
      <c r="B74" s="28"/>
      <c r="C74" s="29"/>
      <c r="D74" s="24" t="s">
        <v>112</v>
      </c>
      <c r="E74" s="20" t="s">
        <v>209</v>
      </c>
    </row>
    <row r="75" spans="1:5" x14ac:dyDescent="0.45">
      <c r="A75" s="31"/>
      <c r="B75" s="28"/>
      <c r="C75" s="27" t="s">
        <v>79</v>
      </c>
      <c r="D75" s="24" t="s">
        <v>113</v>
      </c>
      <c r="E75" s="20" t="s">
        <v>209</v>
      </c>
    </row>
    <row r="76" spans="1:5" x14ac:dyDescent="0.45">
      <c r="A76" s="31"/>
      <c r="B76" s="29"/>
      <c r="C76" s="28"/>
      <c r="D76" s="24" t="s">
        <v>114</v>
      </c>
      <c r="E76" s="20" t="s">
        <v>209</v>
      </c>
    </row>
    <row r="77" spans="1:5" x14ac:dyDescent="0.45">
      <c r="A77" s="31"/>
      <c r="B77" s="27" t="s">
        <v>58</v>
      </c>
      <c r="C77" s="27" t="s">
        <v>80</v>
      </c>
      <c r="D77" s="19" t="s">
        <v>115</v>
      </c>
      <c r="E77" s="20" t="s">
        <v>202</v>
      </c>
    </row>
    <row r="78" spans="1:5" x14ac:dyDescent="0.45">
      <c r="A78" s="31"/>
      <c r="B78" s="28"/>
      <c r="C78" s="28"/>
      <c r="D78" s="3" t="s">
        <v>116</v>
      </c>
      <c r="E78" s="6" t="s">
        <v>201</v>
      </c>
    </row>
    <row r="79" spans="1:5" x14ac:dyDescent="0.45">
      <c r="A79" s="31"/>
      <c r="B79" s="28"/>
      <c r="C79" s="28"/>
      <c r="D79" s="3" t="s">
        <v>117</v>
      </c>
      <c r="E79" s="6" t="s">
        <v>88</v>
      </c>
    </row>
    <row r="80" spans="1:5" x14ac:dyDescent="0.45">
      <c r="A80" s="31"/>
      <c r="B80" s="28"/>
      <c r="C80" s="28"/>
      <c r="D80" s="3" t="s">
        <v>118</v>
      </c>
      <c r="E80" s="6" t="s">
        <v>88</v>
      </c>
    </row>
    <row r="81" spans="1:5" x14ac:dyDescent="0.45">
      <c r="A81" s="31"/>
      <c r="B81" s="28"/>
      <c r="C81" s="28"/>
      <c r="D81" s="19" t="s">
        <v>119</v>
      </c>
      <c r="E81" s="20" t="s">
        <v>202</v>
      </c>
    </row>
    <row r="82" spans="1:5" x14ac:dyDescent="0.45">
      <c r="A82" s="31"/>
      <c r="B82" s="28"/>
      <c r="C82" s="27" t="s">
        <v>81</v>
      </c>
      <c r="D82" s="3" t="s">
        <v>120</v>
      </c>
      <c r="E82" s="6" t="s">
        <v>88</v>
      </c>
    </row>
    <row r="83" spans="1:5" x14ac:dyDescent="0.45">
      <c r="A83" s="31"/>
      <c r="B83" s="28"/>
      <c r="C83" s="28"/>
      <c r="D83" s="3" t="s">
        <v>121</v>
      </c>
      <c r="E83" s="6" t="s">
        <v>7</v>
      </c>
    </row>
    <row r="84" spans="1:5" x14ac:dyDescent="0.45">
      <c r="A84" s="31"/>
      <c r="B84" s="28"/>
      <c r="C84" s="28"/>
      <c r="D84" s="3" t="s">
        <v>122</v>
      </c>
      <c r="E84" s="6" t="s">
        <v>7</v>
      </c>
    </row>
    <row r="85" spans="1:5" x14ac:dyDescent="0.45">
      <c r="A85" s="31"/>
      <c r="B85" s="28"/>
      <c r="C85" s="28"/>
      <c r="D85" s="19" t="s">
        <v>123</v>
      </c>
      <c r="E85" s="20" t="s">
        <v>202</v>
      </c>
    </row>
    <row r="86" spans="1:5" x14ac:dyDescent="0.45">
      <c r="A86" s="31"/>
      <c r="B86" s="28"/>
      <c r="C86" s="28"/>
      <c r="D86" s="19" t="s">
        <v>124</v>
      </c>
      <c r="E86" s="20" t="s">
        <v>202</v>
      </c>
    </row>
    <row r="87" spans="1:5" x14ac:dyDescent="0.45">
      <c r="A87" s="31"/>
      <c r="B87" s="28"/>
      <c r="C87" s="28"/>
      <c r="D87" s="19" t="s">
        <v>125</v>
      </c>
      <c r="E87" s="20" t="s">
        <v>202</v>
      </c>
    </row>
    <row r="88" spans="1:5" x14ac:dyDescent="0.45">
      <c r="A88" s="31"/>
      <c r="B88" s="28"/>
      <c r="C88" s="28"/>
      <c r="D88" s="3" t="s">
        <v>126</v>
      </c>
      <c r="E88" s="6" t="s">
        <v>201</v>
      </c>
    </row>
    <row r="89" spans="1:5" x14ac:dyDescent="0.45">
      <c r="A89" s="31"/>
      <c r="B89" s="27" t="s">
        <v>59</v>
      </c>
      <c r="C89" s="27" t="s">
        <v>82</v>
      </c>
      <c r="D89" s="3" t="s">
        <v>127</v>
      </c>
      <c r="E89" s="6" t="s">
        <v>201</v>
      </c>
    </row>
    <row r="90" spans="1:5" x14ac:dyDescent="0.45">
      <c r="A90" s="31"/>
      <c r="B90" s="28"/>
      <c r="C90" s="28"/>
      <c r="D90" s="3" t="s">
        <v>128</v>
      </c>
      <c r="E90" s="6" t="s">
        <v>201</v>
      </c>
    </row>
    <row r="91" spans="1:5" x14ac:dyDescent="0.45">
      <c r="A91" s="31"/>
      <c r="B91" s="28"/>
      <c r="C91" s="28"/>
      <c r="D91" s="19" t="s">
        <v>129</v>
      </c>
      <c r="E91" s="20" t="s">
        <v>8</v>
      </c>
    </row>
    <row r="92" spans="1:5" x14ac:dyDescent="0.45">
      <c r="A92" s="31"/>
      <c r="B92" s="28"/>
      <c r="C92" s="28"/>
      <c r="D92" s="19" t="s">
        <v>130</v>
      </c>
      <c r="E92" s="20" t="s">
        <v>8</v>
      </c>
    </row>
    <row r="93" spans="1:5" x14ac:dyDescent="0.45">
      <c r="A93" s="31"/>
      <c r="B93" s="28"/>
      <c r="C93" s="28"/>
      <c r="D93" s="19" t="s">
        <v>131</v>
      </c>
      <c r="E93" s="20" t="s">
        <v>8</v>
      </c>
    </row>
    <row r="94" spans="1:5" x14ac:dyDescent="0.45">
      <c r="A94" s="31"/>
      <c r="B94" s="28"/>
      <c r="C94" s="29"/>
      <c r="D94" s="3" t="s">
        <v>132</v>
      </c>
      <c r="E94" s="6" t="s">
        <v>7</v>
      </c>
    </row>
    <row r="95" spans="1:5" x14ac:dyDescent="0.45">
      <c r="A95" s="31"/>
      <c r="B95" s="28"/>
      <c r="C95" s="27" t="s">
        <v>83</v>
      </c>
      <c r="D95" s="3" t="s">
        <v>133</v>
      </c>
      <c r="E95" s="6" t="s">
        <v>7</v>
      </c>
    </row>
    <row r="96" spans="1:5" x14ac:dyDescent="0.45">
      <c r="A96" s="31"/>
      <c r="B96" s="28"/>
      <c r="C96" s="28"/>
      <c r="D96" s="3" t="s">
        <v>134</v>
      </c>
      <c r="E96" s="6" t="s">
        <v>200</v>
      </c>
    </row>
    <row r="97" spans="1:5" x14ac:dyDescent="0.45">
      <c r="A97" s="31"/>
      <c r="B97" s="28"/>
      <c r="C97" s="28"/>
      <c r="D97" s="19" t="s">
        <v>135</v>
      </c>
      <c r="E97" s="20" t="s">
        <v>202</v>
      </c>
    </row>
    <row r="98" spans="1:5" x14ac:dyDescent="0.45">
      <c r="A98" s="31"/>
      <c r="B98" s="28"/>
      <c r="C98" s="28"/>
      <c r="D98" s="19" t="s">
        <v>136</v>
      </c>
      <c r="E98" s="20" t="s">
        <v>202</v>
      </c>
    </row>
    <row r="99" spans="1:5" x14ac:dyDescent="0.45">
      <c r="A99" s="31"/>
      <c r="B99" s="28"/>
      <c r="C99" s="28"/>
      <c r="D99" s="19" t="s">
        <v>137</v>
      </c>
      <c r="E99" s="20" t="s">
        <v>202</v>
      </c>
    </row>
    <row r="100" spans="1:5" x14ac:dyDescent="0.45">
      <c r="A100" s="31"/>
      <c r="B100" s="28"/>
      <c r="C100" s="29"/>
      <c r="D100" s="3" t="s">
        <v>138</v>
      </c>
      <c r="E100" s="6" t="s">
        <v>200</v>
      </c>
    </row>
    <row r="101" spans="1:5" ht="15.75" customHeight="1" x14ac:dyDescent="0.45">
      <c r="A101" s="31"/>
      <c r="B101" s="28"/>
      <c r="C101" s="27" t="s">
        <v>84</v>
      </c>
      <c r="D101" s="19" t="s">
        <v>139</v>
      </c>
      <c r="E101" s="20" t="s">
        <v>202</v>
      </c>
    </row>
    <row r="102" spans="1:5" ht="15.75" customHeight="1" x14ac:dyDescent="0.45">
      <c r="A102" s="31"/>
      <c r="B102" s="28"/>
      <c r="C102" s="29"/>
      <c r="D102" s="3" t="s">
        <v>140</v>
      </c>
      <c r="E102" s="6" t="s">
        <v>7</v>
      </c>
    </row>
    <row r="103" spans="1:5" ht="15.75" customHeight="1" x14ac:dyDescent="0.45">
      <c r="A103" s="31"/>
      <c r="B103" s="28"/>
      <c r="C103" s="27" t="s">
        <v>141</v>
      </c>
      <c r="D103" s="3" t="s">
        <v>143</v>
      </c>
      <c r="E103" s="6" t="s">
        <v>7</v>
      </c>
    </row>
    <row r="104" spans="1:5" ht="15.75" customHeight="1" x14ac:dyDescent="0.45">
      <c r="A104" s="31"/>
      <c r="B104" s="28"/>
      <c r="C104" s="28"/>
      <c r="D104" s="3" t="s">
        <v>144</v>
      </c>
      <c r="E104" s="6" t="s">
        <v>7</v>
      </c>
    </row>
    <row r="105" spans="1:5" ht="15.75" customHeight="1" x14ac:dyDescent="0.45">
      <c r="A105" s="31"/>
      <c r="B105" s="28"/>
      <c r="C105" s="28"/>
      <c r="D105" s="3" t="s">
        <v>145</v>
      </c>
      <c r="E105" s="6" t="s">
        <v>7</v>
      </c>
    </row>
    <row r="106" spans="1:5" ht="15.75" customHeight="1" x14ac:dyDescent="0.45">
      <c r="A106" s="31"/>
      <c r="B106" s="28"/>
      <c r="C106" s="29"/>
      <c r="D106" s="3" t="s">
        <v>146</v>
      </c>
      <c r="E106" s="6" t="s">
        <v>88</v>
      </c>
    </row>
    <row r="107" spans="1:5" ht="15.75" customHeight="1" x14ac:dyDescent="0.45">
      <c r="A107" s="31"/>
      <c r="B107" s="28"/>
      <c r="C107" s="27" t="s">
        <v>142</v>
      </c>
      <c r="D107" s="3" t="s">
        <v>147</v>
      </c>
      <c r="E107" s="6" t="s">
        <v>88</v>
      </c>
    </row>
    <row r="108" spans="1:5" ht="15.75" customHeight="1" x14ac:dyDescent="0.45">
      <c r="A108" s="31"/>
      <c r="B108" s="28"/>
      <c r="C108" s="28"/>
      <c r="D108" s="3" t="s">
        <v>148</v>
      </c>
      <c r="E108" s="6" t="s">
        <v>7</v>
      </c>
    </row>
    <row r="109" spans="1:5" ht="15.75" customHeight="1" x14ac:dyDescent="0.45">
      <c r="A109" s="31"/>
      <c r="B109" s="28"/>
      <c r="C109" s="28"/>
      <c r="D109" s="3" t="s">
        <v>149</v>
      </c>
      <c r="E109" s="6" t="s">
        <v>7</v>
      </c>
    </row>
    <row r="110" spans="1:5" ht="15.75" customHeight="1" x14ac:dyDescent="0.45">
      <c r="A110" s="31"/>
      <c r="B110" s="28"/>
      <c r="C110" s="28"/>
      <c r="D110" s="3" t="s">
        <v>150</v>
      </c>
      <c r="E110" s="6" t="s">
        <v>7</v>
      </c>
    </row>
    <row r="111" spans="1:5" ht="15.75" customHeight="1" x14ac:dyDescent="0.45">
      <c r="A111" s="31"/>
      <c r="B111" s="29"/>
      <c r="C111" s="29"/>
      <c r="D111" s="3" t="s">
        <v>151</v>
      </c>
      <c r="E111" s="6" t="s">
        <v>7</v>
      </c>
    </row>
    <row r="112" spans="1:5" ht="15.75" customHeight="1" x14ac:dyDescent="0.45">
      <c r="A112" s="31"/>
      <c r="B112" s="27" t="s">
        <v>60</v>
      </c>
      <c r="C112" s="27" t="s">
        <v>152</v>
      </c>
      <c r="D112" s="10" t="s">
        <v>29</v>
      </c>
      <c r="E112" s="6" t="s">
        <v>7</v>
      </c>
    </row>
    <row r="113" spans="1:5" ht="15.75" customHeight="1" x14ac:dyDescent="0.45">
      <c r="A113" s="31"/>
      <c r="B113" s="28"/>
      <c r="C113" s="28"/>
      <c r="D113" s="3" t="s">
        <v>153</v>
      </c>
      <c r="E113" s="6" t="s">
        <v>7</v>
      </c>
    </row>
    <row r="114" spans="1:5" ht="15.75" customHeight="1" x14ac:dyDescent="0.45">
      <c r="A114" s="31"/>
      <c r="B114" s="28"/>
      <c r="C114" s="29"/>
      <c r="D114" s="3" t="s">
        <v>154</v>
      </c>
      <c r="E114" s="6" t="s">
        <v>7</v>
      </c>
    </row>
    <row r="115" spans="1:5" ht="15.75" customHeight="1" x14ac:dyDescent="0.45">
      <c r="A115" s="31"/>
      <c r="B115" s="28"/>
      <c r="C115" s="27" t="s">
        <v>157</v>
      </c>
      <c r="D115" s="3" t="s">
        <v>155</v>
      </c>
      <c r="E115" s="6" t="s">
        <v>88</v>
      </c>
    </row>
    <row r="116" spans="1:5" ht="15.75" customHeight="1" x14ac:dyDescent="0.45">
      <c r="A116" s="31"/>
      <c r="B116" s="29"/>
      <c r="C116" s="29"/>
      <c r="D116" s="3" t="s">
        <v>156</v>
      </c>
      <c r="E116" s="6" t="s">
        <v>7</v>
      </c>
    </row>
    <row r="117" spans="1:5" ht="15.75" customHeight="1" x14ac:dyDescent="0.45">
      <c r="A117" s="31"/>
      <c r="B117" s="27" t="s">
        <v>61</v>
      </c>
      <c r="C117" s="27" t="s">
        <v>158</v>
      </c>
      <c r="D117" s="3" t="s">
        <v>159</v>
      </c>
      <c r="E117" s="6" t="s">
        <v>88</v>
      </c>
    </row>
    <row r="118" spans="1:5" ht="15.75" customHeight="1" x14ac:dyDescent="0.45">
      <c r="A118" s="31"/>
      <c r="B118" s="28"/>
      <c r="C118" s="28"/>
      <c r="D118" s="3" t="s">
        <v>160</v>
      </c>
      <c r="E118" s="6" t="s">
        <v>88</v>
      </c>
    </row>
    <row r="119" spans="1:5" ht="15.75" customHeight="1" x14ac:dyDescent="0.45">
      <c r="A119" s="31"/>
      <c r="B119" s="28"/>
      <c r="C119" s="28"/>
      <c r="D119" s="3" t="s">
        <v>161</v>
      </c>
      <c r="E119" s="6" t="s">
        <v>7</v>
      </c>
    </row>
    <row r="120" spans="1:5" ht="15.75" customHeight="1" x14ac:dyDescent="0.45">
      <c r="A120" s="31"/>
      <c r="B120" s="28"/>
      <c r="C120" s="28"/>
      <c r="D120" s="3" t="s">
        <v>162</v>
      </c>
      <c r="E120" s="6" t="s">
        <v>7</v>
      </c>
    </row>
    <row r="121" spans="1:5" ht="15.75" customHeight="1" x14ac:dyDescent="0.45">
      <c r="A121" s="31"/>
      <c r="B121" s="28"/>
      <c r="C121" s="28"/>
      <c r="D121" s="3" t="s">
        <v>163</v>
      </c>
      <c r="E121" s="6" t="s">
        <v>7</v>
      </c>
    </row>
    <row r="122" spans="1:5" ht="15.75" customHeight="1" x14ac:dyDescent="0.45">
      <c r="A122" s="31"/>
      <c r="B122" s="28"/>
      <c r="C122" s="29"/>
      <c r="D122" s="3" t="s">
        <v>164</v>
      </c>
      <c r="E122" s="6" t="s">
        <v>7</v>
      </c>
    </row>
    <row r="123" spans="1:5" ht="15.75" customHeight="1" x14ac:dyDescent="0.45">
      <c r="A123" s="31"/>
      <c r="B123" s="28"/>
      <c r="C123" s="27" t="s">
        <v>165</v>
      </c>
      <c r="D123" s="3" t="s">
        <v>162</v>
      </c>
      <c r="E123" s="6" t="s">
        <v>7</v>
      </c>
    </row>
    <row r="124" spans="1:5" ht="15.75" customHeight="1" x14ac:dyDescent="0.45">
      <c r="A124" s="31"/>
      <c r="B124" s="28"/>
      <c r="C124" s="28"/>
      <c r="D124" s="3" t="s">
        <v>164</v>
      </c>
      <c r="E124" s="6" t="s">
        <v>7</v>
      </c>
    </row>
    <row r="125" spans="1:5" ht="15.75" customHeight="1" x14ac:dyDescent="0.45">
      <c r="A125" s="31"/>
      <c r="B125" s="28"/>
      <c r="C125" s="27" t="s">
        <v>166</v>
      </c>
      <c r="D125" s="3" t="s">
        <v>159</v>
      </c>
      <c r="E125" s="6" t="s">
        <v>88</v>
      </c>
    </row>
    <row r="126" spans="1:5" ht="15.75" customHeight="1" x14ac:dyDescent="0.45">
      <c r="A126" s="31"/>
      <c r="B126" s="28"/>
      <c r="C126" s="28"/>
      <c r="D126" s="3" t="s">
        <v>160</v>
      </c>
      <c r="E126" s="6" t="s">
        <v>88</v>
      </c>
    </row>
    <row r="127" spans="1:5" ht="15.75" customHeight="1" x14ac:dyDescent="0.45">
      <c r="A127" s="31"/>
      <c r="B127" s="28"/>
      <c r="C127" s="28"/>
      <c r="D127" s="3" t="s">
        <v>161</v>
      </c>
      <c r="E127" s="6" t="s">
        <v>88</v>
      </c>
    </row>
    <row r="128" spans="1:5" ht="15.75" customHeight="1" x14ac:dyDescent="0.45">
      <c r="A128" s="31"/>
      <c r="B128" s="28"/>
      <c r="C128" s="28"/>
      <c r="D128" s="3" t="s">
        <v>167</v>
      </c>
      <c r="E128" s="6" t="s">
        <v>7</v>
      </c>
    </row>
    <row r="129" spans="1:5" ht="15.75" customHeight="1" x14ac:dyDescent="0.45">
      <c r="A129" s="31"/>
      <c r="B129" s="28"/>
      <c r="C129" s="28"/>
      <c r="D129" s="3" t="s">
        <v>168</v>
      </c>
      <c r="E129" s="6" t="s">
        <v>7</v>
      </c>
    </row>
    <row r="130" spans="1:5" ht="15.75" customHeight="1" x14ac:dyDescent="0.45">
      <c r="A130" s="31"/>
      <c r="B130" s="28"/>
      <c r="C130" s="28"/>
      <c r="D130" s="3" t="s">
        <v>162</v>
      </c>
      <c r="E130" s="6" t="s">
        <v>7</v>
      </c>
    </row>
    <row r="131" spans="1:5" ht="15" customHeight="1" x14ac:dyDescent="0.45">
      <c r="A131" s="31"/>
      <c r="B131" s="28"/>
      <c r="C131" s="29"/>
      <c r="D131" s="3" t="s">
        <v>163</v>
      </c>
      <c r="E131" s="6" t="s">
        <v>88</v>
      </c>
    </row>
    <row r="132" spans="1:5" ht="15.75" customHeight="1" x14ac:dyDescent="0.45">
      <c r="A132" s="31"/>
      <c r="B132" s="28"/>
      <c r="C132" s="27" t="s">
        <v>169</v>
      </c>
      <c r="D132" s="3" t="s">
        <v>170</v>
      </c>
      <c r="E132" s="6" t="s">
        <v>88</v>
      </c>
    </row>
    <row r="133" spans="1:5" ht="15.75" customHeight="1" x14ac:dyDescent="0.45">
      <c r="A133" s="31"/>
      <c r="B133" s="28"/>
      <c r="C133" s="28"/>
      <c r="D133" s="3" t="s">
        <v>171</v>
      </c>
      <c r="E133" s="6" t="s">
        <v>207</v>
      </c>
    </row>
    <row r="134" spans="1:5" ht="15.75" customHeight="1" x14ac:dyDescent="0.45">
      <c r="A134" s="31"/>
      <c r="B134" s="28"/>
      <c r="C134" s="29"/>
      <c r="D134" s="3" t="s">
        <v>172</v>
      </c>
      <c r="E134" s="6" t="s">
        <v>7</v>
      </c>
    </row>
    <row r="135" spans="1:5" ht="15.75" customHeight="1" x14ac:dyDescent="0.45">
      <c r="A135" s="31"/>
      <c r="B135" s="28"/>
      <c r="C135" s="27" t="s">
        <v>174</v>
      </c>
      <c r="D135" s="3" t="s">
        <v>173</v>
      </c>
      <c r="E135" s="6" t="s">
        <v>88</v>
      </c>
    </row>
    <row r="136" spans="1:5" ht="15.75" customHeight="1" x14ac:dyDescent="0.45">
      <c r="A136" s="31"/>
      <c r="B136" s="28"/>
      <c r="C136" s="28"/>
      <c r="D136" s="3" t="s">
        <v>175</v>
      </c>
      <c r="E136" s="6" t="s">
        <v>7</v>
      </c>
    </row>
    <row r="137" spans="1:5" ht="15.75" customHeight="1" x14ac:dyDescent="0.45">
      <c r="A137" s="31"/>
      <c r="B137" s="28"/>
      <c r="C137" s="28"/>
      <c r="D137" s="3" t="s">
        <v>176</v>
      </c>
      <c r="E137" s="6" t="s">
        <v>7</v>
      </c>
    </row>
    <row r="138" spans="1:5" ht="15.75" customHeight="1" x14ac:dyDescent="0.45">
      <c r="A138" s="31"/>
      <c r="B138" s="28"/>
      <c r="C138" s="28"/>
      <c r="D138" s="3" t="s">
        <v>177</v>
      </c>
      <c r="E138" s="6" t="s">
        <v>7</v>
      </c>
    </row>
    <row r="139" spans="1:5" x14ac:dyDescent="0.45">
      <c r="A139" s="31"/>
      <c r="B139" s="27" t="s">
        <v>62</v>
      </c>
      <c r="C139" s="27" t="s">
        <v>178</v>
      </c>
      <c r="D139" s="19" t="s">
        <v>182</v>
      </c>
      <c r="E139" s="20" t="s">
        <v>202</v>
      </c>
    </row>
    <row r="140" spans="1:5" x14ac:dyDescent="0.45">
      <c r="A140" s="31"/>
      <c r="B140" s="28"/>
      <c r="C140" s="28"/>
      <c r="D140" s="19" t="s">
        <v>183</v>
      </c>
      <c r="E140" s="20" t="s">
        <v>202</v>
      </c>
    </row>
    <row r="141" spans="1:5" x14ac:dyDescent="0.45">
      <c r="A141" s="31"/>
      <c r="B141" s="28"/>
      <c r="C141" s="28"/>
      <c r="D141" s="3" t="s">
        <v>184</v>
      </c>
      <c r="E141" s="6" t="s">
        <v>7</v>
      </c>
    </row>
    <row r="142" spans="1:5" x14ac:dyDescent="0.45">
      <c r="A142" s="31"/>
      <c r="B142" s="28"/>
      <c r="C142" s="27" t="s">
        <v>179</v>
      </c>
      <c r="D142" s="3" t="s">
        <v>185</v>
      </c>
      <c r="E142" s="6" t="s">
        <v>88</v>
      </c>
    </row>
    <row r="143" spans="1:5" x14ac:dyDescent="0.45">
      <c r="A143" s="31"/>
      <c r="B143" s="28"/>
      <c r="C143" s="28"/>
      <c r="D143" s="3" t="s">
        <v>186</v>
      </c>
      <c r="E143" s="6" t="s">
        <v>7</v>
      </c>
    </row>
    <row r="144" spans="1:5" x14ac:dyDescent="0.45">
      <c r="A144" s="31"/>
      <c r="B144" s="28"/>
      <c r="C144" s="27" t="s">
        <v>180</v>
      </c>
      <c r="D144" s="19" t="s">
        <v>187</v>
      </c>
      <c r="E144" s="20" t="s">
        <v>202</v>
      </c>
    </row>
    <row r="145" spans="1:7" x14ac:dyDescent="0.45">
      <c r="A145" s="31"/>
      <c r="B145" s="28"/>
      <c r="C145" s="28"/>
      <c r="D145" s="3" t="s">
        <v>188</v>
      </c>
      <c r="E145" s="6" t="s">
        <v>7</v>
      </c>
    </row>
    <row r="146" spans="1:7" x14ac:dyDescent="0.45">
      <c r="A146" s="31"/>
      <c r="B146" s="28"/>
      <c r="C146" s="28"/>
      <c r="D146" s="19" t="s">
        <v>189</v>
      </c>
      <c r="E146" s="20" t="s">
        <v>202</v>
      </c>
    </row>
    <row r="147" spans="1:7" x14ac:dyDescent="0.45">
      <c r="A147" s="31"/>
      <c r="B147" s="28"/>
      <c r="C147" s="27" t="s">
        <v>181</v>
      </c>
      <c r="D147" s="19" t="s">
        <v>190</v>
      </c>
      <c r="E147" s="20" t="s">
        <v>203</v>
      </c>
    </row>
    <row r="148" spans="1:7" x14ac:dyDescent="0.45">
      <c r="A148" s="31"/>
      <c r="B148" s="28"/>
      <c r="C148" s="28"/>
      <c r="D148" s="19" t="s">
        <v>191</v>
      </c>
      <c r="E148" s="20" t="s">
        <v>203</v>
      </c>
    </row>
    <row r="149" spans="1:7" x14ac:dyDescent="0.45">
      <c r="A149" s="31"/>
      <c r="B149" s="28"/>
      <c r="C149" s="28"/>
      <c r="D149" s="19" t="s">
        <v>192</v>
      </c>
      <c r="E149" s="20" t="s">
        <v>203</v>
      </c>
    </row>
    <row r="150" spans="1:7" x14ac:dyDescent="0.45">
      <c r="A150" s="31"/>
      <c r="B150" s="28"/>
      <c r="C150" s="28"/>
      <c r="D150" s="19" t="s">
        <v>193</v>
      </c>
      <c r="E150" s="20" t="s">
        <v>203</v>
      </c>
    </row>
    <row r="151" spans="1:7" x14ac:dyDescent="0.45">
      <c r="A151" s="31"/>
      <c r="B151" s="28"/>
      <c r="C151" s="28"/>
      <c r="D151" s="19" t="s">
        <v>194</v>
      </c>
      <c r="E151" s="20" t="s">
        <v>203</v>
      </c>
    </row>
    <row r="152" spans="1:7" x14ac:dyDescent="0.45">
      <c r="A152" s="31"/>
      <c r="B152" s="27" t="s">
        <v>63</v>
      </c>
      <c r="C152" s="15" t="s">
        <v>195</v>
      </c>
      <c r="D152" s="19" t="s">
        <v>197</v>
      </c>
      <c r="E152" s="20" t="s">
        <v>209</v>
      </c>
    </row>
    <row r="153" spans="1:7" x14ac:dyDescent="0.45">
      <c r="A153" s="31"/>
      <c r="B153" s="28"/>
      <c r="C153" s="27" t="s">
        <v>196</v>
      </c>
      <c r="D153" s="3" t="s">
        <v>198</v>
      </c>
      <c r="E153" s="6" t="s">
        <v>7</v>
      </c>
    </row>
    <row r="154" spans="1:7" x14ac:dyDescent="0.45">
      <c r="A154" s="31"/>
      <c r="B154" s="29"/>
      <c r="C154" s="29"/>
      <c r="D154" s="3" t="s">
        <v>199</v>
      </c>
      <c r="E154" s="6" t="s">
        <v>7</v>
      </c>
    </row>
    <row r="155" spans="1:7" x14ac:dyDescent="0.45">
      <c r="A155" s="31"/>
      <c r="B155" s="16" t="s">
        <v>64</v>
      </c>
      <c r="C155" s="17"/>
      <c r="D155" s="3"/>
      <c r="E155" s="6"/>
    </row>
    <row r="156" spans="1:7" x14ac:dyDescent="0.45">
      <c r="A156" s="31"/>
      <c r="B156" s="17"/>
      <c r="C156" s="17"/>
      <c r="D156" s="3"/>
      <c r="E156" s="6"/>
    </row>
    <row r="157" spans="1:7" x14ac:dyDescent="0.45">
      <c r="A157" s="31"/>
      <c r="B157" s="17"/>
      <c r="C157" s="17"/>
      <c r="D157" s="3"/>
      <c r="E157" s="6"/>
    </row>
    <row r="158" spans="1:7" x14ac:dyDescent="0.45">
      <c r="A158" s="32"/>
      <c r="B158" s="18"/>
      <c r="C158" s="18"/>
      <c r="D158" s="3"/>
      <c r="E158" s="6"/>
    </row>
    <row r="160" spans="1:7" x14ac:dyDescent="0.45">
      <c r="F160" s="14" t="s">
        <v>10</v>
      </c>
      <c r="G160">
        <f>COUNTIF(E5:E158, "준수")</f>
        <v>64</v>
      </c>
    </row>
    <row r="161" spans="6:7" x14ac:dyDescent="0.45">
      <c r="F161" s="14" t="s">
        <v>9</v>
      </c>
      <c r="G161">
        <f>COUNTIF(E5:E158, "미준수")</f>
        <v>10</v>
      </c>
    </row>
    <row r="162" spans="6:7" x14ac:dyDescent="0.45">
      <c r="F162" s="14" t="s">
        <v>11</v>
      </c>
      <c r="G162">
        <f>COUNTIF(E5:E158, "해당없음")</f>
        <v>76</v>
      </c>
    </row>
    <row r="163" spans="6:7" x14ac:dyDescent="0.45">
      <c r="F163" s="14"/>
      <c r="G163" s="12">
        <f>SUM(G160:G162)</f>
        <v>150</v>
      </c>
    </row>
    <row r="164" spans="6:7" x14ac:dyDescent="0.45">
      <c r="F164" s="14" t="s">
        <v>12</v>
      </c>
      <c r="G164" s="13">
        <f>COUNTIF(E5:E158,"준수") / COUNTA(E5:E158)</f>
        <v>0.42666666666666669</v>
      </c>
    </row>
    <row r="165" spans="6:7" x14ac:dyDescent="0.45">
      <c r="G165" s="13"/>
    </row>
  </sheetData>
  <autoFilter ref="A4:E159" xr:uid="{34DC90E1-7112-4806-ADC5-98CA8498E977}"/>
  <mergeCells count="50">
    <mergeCell ref="B117:B138"/>
    <mergeCell ref="B112:B116"/>
    <mergeCell ref="C107:C111"/>
    <mergeCell ref="C103:C106"/>
    <mergeCell ref="C101:C102"/>
    <mergeCell ref="B89:B111"/>
    <mergeCell ref="C95:C100"/>
    <mergeCell ref="C125:C131"/>
    <mergeCell ref="C132:C134"/>
    <mergeCell ref="C135:C138"/>
    <mergeCell ref="C123:C124"/>
    <mergeCell ref="B139:B151"/>
    <mergeCell ref="C23:C28"/>
    <mergeCell ref="A5:A158"/>
    <mergeCell ref="B5:B11"/>
    <mergeCell ref="B12:B41"/>
    <mergeCell ref="C144:C146"/>
    <mergeCell ref="C147:C151"/>
    <mergeCell ref="C153:C154"/>
    <mergeCell ref="C75:C76"/>
    <mergeCell ref="B152:B154"/>
    <mergeCell ref="C112:C114"/>
    <mergeCell ref="C115:C116"/>
    <mergeCell ref="C117:C122"/>
    <mergeCell ref="C139:C141"/>
    <mergeCell ref="C142:C143"/>
    <mergeCell ref="C89:C94"/>
    <mergeCell ref="B77:B88"/>
    <mergeCell ref="C61:C62"/>
    <mergeCell ref="C58:C60"/>
    <mergeCell ref="C56:C57"/>
    <mergeCell ref="C54:C55"/>
    <mergeCell ref="B42:B76"/>
    <mergeCell ref="C82:C88"/>
    <mergeCell ref="C73:C74"/>
    <mergeCell ref="C10:C11"/>
    <mergeCell ref="C77:C81"/>
    <mergeCell ref="C68:C72"/>
    <mergeCell ref="C63:C67"/>
    <mergeCell ref="C6:C7"/>
    <mergeCell ref="C29:C32"/>
    <mergeCell ref="C52:C53"/>
    <mergeCell ref="C48:C51"/>
    <mergeCell ref="C45:C47"/>
    <mergeCell ref="C42:C44"/>
    <mergeCell ref="C33:C41"/>
    <mergeCell ref="C8:C9"/>
    <mergeCell ref="C20:C22"/>
    <mergeCell ref="C15:C19"/>
    <mergeCell ref="C12:C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체크리스트_목록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DONGJIN PARK</dc:creator>
  <cp:lastModifiedBy>kameoGram</cp:lastModifiedBy>
  <dcterms:created xsi:type="dcterms:W3CDTF">2026-01-13T06:06:34Z</dcterms:created>
  <dcterms:modified xsi:type="dcterms:W3CDTF">2026-02-05T04:34:59Z</dcterms:modified>
</cp:coreProperties>
</file>